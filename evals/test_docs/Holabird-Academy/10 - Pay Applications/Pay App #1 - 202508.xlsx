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702 Summary" sheetId="1" state="visible" r:id="rId1"/>
    <sheet xmlns:r="http://schemas.openxmlformats.org/officeDocument/2006/relationships" name="G703 Schedule of Values" sheetId="2" state="visible" r:id="rId2"/>
  </sheets>
  <definedNames>
    <definedName name="_xlnm._FilterDatabase" localSheetId="1" hidden="1">'G703 Schedule of Values'!$A$1:$J$20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AND CERTIFICATE FOR PAYMENT</t>
        </is>
      </c>
    </row>
    <row r="2">
      <c r="A2" s="2" t="inlineStr">
        <is>
          <t>AIA Document G702 — Application No. 1</t>
        </is>
      </c>
    </row>
    <row r="4">
      <c r="A4" s="3" t="inlineStr">
        <is>
          <t>TO OWNER:</t>
        </is>
      </c>
      <c r="B4" s="4" t="inlineStr">
        <is>
          <t>Baltimore City Public Schools</t>
        </is>
      </c>
      <c r="E4" s="3" t="inlineStr">
        <is>
          <t>PROJECT:</t>
        </is>
      </c>
      <c r="F4" s="4" t="inlineStr">
        <is>
          <t>HOLABIRD ACADEMY</t>
        </is>
      </c>
    </row>
    <row r="5">
      <c r="A5" s="3" t="inlineStr"/>
      <c r="B5" s="4" t="inlineStr">
        <is>
          <t>Baltimore City Public Schools</t>
        </is>
      </c>
      <c r="E5" s="3" t="inlineStr"/>
      <c r="F5" s="4" t="inlineStr">
        <is>
          <t>1500 Imla Street, Baltimore, MD 21224</t>
        </is>
      </c>
    </row>
    <row r="6">
      <c r="A6" s="3" t="inlineStr">
        <is>
          <t>FROM CONTRACTOR:</t>
        </is>
      </c>
      <c r="B6" s="4" t="inlineStr">
        <is>
          <t>Hensel Phelps Construction Co.</t>
        </is>
      </c>
      <c r="E6" s="3" t="inlineStr">
        <is>
          <t>APPLICATION NO:</t>
        </is>
      </c>
      <c r="F6" s="4" t="inlineStr">
        <is>
          <t>1</t>
        </is>
      </c>
    </row>
    <row r="7">
      <c r="A7" s="3" t="inlineStr"/>
      <c r="B7" s="4" t="inlineStr">
        <is>
          <t>Baltimore, MD</t>
        </is>
      </c>
      <c r="E7" s="3" t="inlineStr">
        <is>
          <t>PERIOD TO:</t>
        </is>
      </c>
      <c r="F7" s="4" t="inlineStr">
        <is>
          <t>2025-08-31</t>
        </is>
      </c>
    </row>
    <row r="8">
      <c r="A8" s="3" t="inlineStr">
        <is>
          <t>VIA ARCHITECT:</t>
        </is>
      </c>
      <c r="B8" s="4" t="inlineStr">
        <is>
          <t>Marks, Thomas Architects</t>
        </is>
      </c>
      <c r="E8" s="3" t="inlineStr">
        <is>
          <t>PROJECT NO:</t>
        </is>
      </c>
      <c r="F8" s="4" t="inlineStr">
        <is>
          <t>2024-0312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7" customWidth="1" min="3" max="3"/>
    <col width="23" customWidth="1" min="4" max="4"/>
    <col width="20" customWidth="1" min="5" max="5"/>
    <col width="25" customWidth="1" min="6" max="6"/>
    <col width="17" customWidth="1" min="7" max="7"/>
    <col width="22" customWidth="1" min="8" max="8"/>
    <col width="19" customWidth="1" min="9" max="9"/>
    <col width="14" customWidth="1" min="10" max="10"/>
  </cols>
  <sheetData>
    <row r="1">
      <c r="A1" s="5" t="inlineStr">
        <is>
          <t>Item</t>
        </is>
      </c>
      <c r="B1" s="5" t="inlineStr">
        <is>
          <t>Description of Work</t>
        </is>
      </c>
      <c r="C1" s="5" t="inlineStr">
        <is>
          <t>Scheduled Value</t>
        </is>
      </c>
      <c r="D1" s="5" t="inlineStr">
        <is>
          <t>Previous Applications</t>
        </is>
      </c>
      <c r="E1" s="5" t="inlineStr">
        <is>
          <t>This Period - Work</t>
        </is>
      </c>
      <c r="F1" s="5" t="inlineStr">
        <is>
          <t>This Period - Materials</t>
        </is>
      </c>
      <c r="G1" s="5" t="inlineStr">
        <is>
          <t>Total Completed</t>
        </is>
      </c>
      <c r="H1" s="5" t="inlineStr">
        <is>
          <t>% Complete</t>
        </is>
      </c>
      <c r="I1" s="5" t="inlineStr">
        <is>
          <t>Balance to Finish</t>
        </is>
      </c>
      <c r="J1" s="5" t="inlineStr">
        <is>
          <t>Retainage</t>
        </is>
      </c>
    </row>
    <row r="2">
      <c r="A2" s="6" t="inlineStr">
        <is>
          <t>1</t>
        </is>
      </c>
      <c r="B2" s="6" t="inlineStr">
        <is>
          <t>General Conditions</t>
        </is>
      </c>
      <c r="C2" s="7" t="n">
        <v>1850000</v>
      </c>
      <c r="D2" s="8" t="n">
        <v>113689</v>
      </c>
      <c r="E2" s="8" t="n">
        <v>140586</v>
      </c>
      <c r="F2" s="8" t="n">
        <v>17803</v>
      </c>
      <c r="G2" s="8">
        <f>D2+E2+F2</f>
        <v/>
      </c>
      <c r="H2" s="9">
        <f>IF(C2=0,0,G2/C2)</f>
        <v/>
      </c>
      <c r="I2" s="8">
        <f>C2-G2</f>
        <v/>
      </c>
      <c r="J2" s="8">
        <f>G2*0.10</f>
        <v/>
      </c>
    </row>
    <row r="3">
      <c r="A3" s="6" t="inlineStr">
        <is>
          <t>2</t>
        </is>
      </c>
      <c r="B3" s="6" t="inlineStr">
        <is>
          <t>Site Work &amp; Demolition</t>
        </is>
      </c>
      <c r="C3" s="7" t="n">
        <v>2100000</v>
      </c>
      <c r="D3" s="8" t="n">
        <v>125802</v>
      </c>
      <c r="E3" s="8" t="n">
        <v>182485</v>
      </c>
      <c r="F3" s="8" t="n">
        <v>11724</v>
      </c>
      <c r="G3" s="8">
        <f>D3+E3+F3</f>
        <v/>
      </c>
      <c r="H3" s="9">
        <f>IF(C3=0,0,G3/C3)</f>
        <v/>
      </c>
      <c r="I3" s="8">
        <f>C3-G3</f>
        <v/>
      </c>
      <c r="J3" s="8">
        <f>G3*0.10</f>
        <v/>
      </c>
    </row>
    <row r="4">
      <c r="A4" s="6" t="inlineStr">
        <is>
          <t>3</t>
        </is>
      </c>
      <c r="B4" s="6" t="inlineStr">
        <is>
          <t>Concrete</t>
        </is>
      </c>
      <c r="C4" s="7" t="n">
        <v>3200000</v>
      </c>
      <c r="D4" s="8" t="n">
        <v>147038</v>
      </c>
      <c r="E4" s="8" t="n">
        <v>213391</v>
      </c>
      <c r="F4" s="8" t="n">
        <v>14578</v>
      </c>
      <c r="G4" s="8">
        <f>D4+E4+F4</f>
        <v/>
      </c>
      <c r="H4" s="9">
        <f>IF(C4=0,0,G4/C4)</f>
        <v/>
      </c>
      <c r="I4" s="8">
        <f>C4-G4</f>
        <v/>
      </c>
      <c r="J4" s="8">
        <f>G4*0.10</f>
        <v/>
      </c>
    </row>
    <row r="5">
      <c r="A5" s="6" t="inlineStr">
        <is>
          <t>4</t>
        </is>
      </c>
      <c r="B5" s="6" t="inlineStr">
        <is>
          <t>Masonry</t>
        </is>
      </c>
      <c r="C5" s="7" t="n">
        <v>1800000</v>
      </c>
      <c r="D5" s="8" t="n">
        <v>87649</v>
      </c>
      <c r="E5" s="8" t="n">
        <v>96599</v>
      </c>
      <c r="F5" s="8" t="n">
        <v>11331</v>
      </c>
      <c r="G5" s="8">
        <f>D5+E5+F5</f>
        <v/>
      </c>
      <c r="H5" s="9">
        <f>IF(C5=0,0,G5/C5)</f>
        <v/>
      </c>
      <c r="I5" s="8">
        <f>C5-G5</f>
        <v/>
      </c>
      <c r="J5" s="8">
        <f>G5*0.10</f>
        <v/>
      </c>
    </row>
    <row r="6">
      <c r="A6" s="6" t="inlineStr">
        <is>
          <t>5</t>
        </is>
      </c>
      <c r="B6" s="6" t="inlineStr">
        <is>
          <t>Structural Steel</t>
        </is>
      </c>
      <c r="C6" s="7" t="n">
        <v>2900000</v>
      </c>
      <c r="D6" s="8" t="n">
        <v>114418</v>
      </c>
      <c r="E6" s="8" t="n">
        <v>94110</v>
      </c>
      <c r="F6" s="8" t="n">
        <v>4753</v>
      </c>
      <c r="G6" s="8">
        <f>D6+E6+F6</f>
        <v/>
      </c>
      <c r="H6" s="9">
        <f>IF(C6=0,0,G6/C6)</f>
        <v/>
      </c>
      <c r="I6" s="8">
        <f>C6-G6</f>
        <v/>
      </c>
      <c r="J6" s="8">
        <f>G6*0.10</f>
        <v/>
      </c>
    </row>
    <row r="7">
      <c r="A7" s="6" t="inlineStr">
        <is>
          <t>6</t>
        </is>
      </c>
      <c r="B7" s="6" t="inlineStr">
        <is>
          <t>Carpentry</t>
        </is>
      </c>
      <c r="C7" s="7" t="n">
        <v>680000</v>
      </c>
      <c r="D7" s="8" t="n">
        <v>39678</v>
      </c>
      <c r="E7" s="8" t="n">
        <v>52487</v>
      </c>
      <c r="F7" s="8" t="n">
        <v>7465</v>
      </c>
      <c r="G7" s="8">
        <f>D7+E7+F7</f>
        <v/>
      </c>
      <c r="H7" s="9">
        <f>IF(C7=0,0,G7/C7)</f>
        <v/>
      </c>
      <c r="I7" s="8">
        <f>C7-G7</f>
        <v/>
      </c>
      <c r="J7" s="8">
        <f>G7*0.10</f>
        <v/>
      </c>
    </row>
    <row r="8">
      <c r="A8" s="6" t="inlineStr">
        <is>
          <t>7</t>
        </is>
      </c>
      <c r="B8" s="6" t="inlineStr">
        <is>
          <t>Thermal &amp; Moisture Protection</t>
        </is>
      </c>
      <c r="C8" s="7" t="n">
        <v>1450000</v>
      </c>
      <c r="D8" s="8" t="n">
        <v>78679</v>
      </c>
      <c r="E8" s="8" t="n">
        <v>77117</v>
      </c>
      <c r="F8" s="8" t="n">
        <v>4230</v>
      </c>
      <c r="G8" s="8">
        <f>D8+E8+F8</f>
        <v/>
      </c>
      <c r="H8" s="9">
        <f>IF(C8=0,0,G8/C8)</f>
        <v/>
      </c>
      <c r="I8" s="8">
        <f>C8-G8</f>
        <v/>
      </c>
      <c r="J8" s="8">
        <f>G8*0.10</f>
        <v/>
      </c>
    </row>
    <row r="9">
      <c r="A9" s="6" t="inlineStr">
        <is>
          <t>8</t>
        </is>
      </c>
      <c r="B9" s="6" t="inlineStr">
        <is>
          <t>Doors, Frames &amp; Hardware</t>
        </is>
      </c>
      <c r="C9" s="7" t="n">
        <v>890000</v>
      </c>
      <c r="D9" s="8" t="n">
        <v>31231</v>
      </c>
      <c r="E9" s="8" t="n">
        <v>33160</v>
      </c>
      <c r="F9" s="8" t="n">
        <v>3077</v>
      </c>
      <c r="G9" s="8">
        <f>D9+E9+F9</f>
        <v/>
      </c>
      <c r="H9" s="9">
        <f>IF(C9=0,0,G9/C9)</f>
        <v/>
      </c>
      <c r="I9" s="8">
        <f>C9-G9</f>
        <v/>
      </c>
      <c r="J9" s="8">
        <f>G9*0.10</f>
        <v/>
      </c>
    </row>
    <row r="10">
      <c r="A10" s="6" t="inlineStr">
        <is>
          <t>9</t>
        </is>
      </c>
      <c r="B10" s="6" t="inlineStr">
        <is>
          <t>Glazing &amp; Curtain Wall</t>
        </is>
      </c>
      <c r="C10" s="7" t="n">
        <v>1650000</v>
      </c>
      <c r="D10" s="8" t="n">
        <v>86588</v>
      </c>
      <c r="E10" s="8" t="n">
        <v>126587</v>
      </c>
      <c r="F10" s="8" t="n">
        <v>14013</v>
      </c>
      <c r="G10" s="8">
        <f>D10+E10+F10</f>
        <v/>
      </c>
      <c r="H10" s="9">
        <f>IF(C10=0,0,G10/C10)</f>
        <v/>
      </c>
      <c r="I10" s="8">
        <f>C10-G10</f>
        <v/>
      </c>
      <c r="J10" s="8">
        <f>G10*0.10</f>
        <v/>
      </c>
    </row>
    <row r="11">
      <c r="A11" s="6" t="inlineStr">
        <is>
          <t>10</t>
        </is>
      </c>
      <c r="B11" s="6" t="inlineStr">
        <is>
          <t>Finishes</t>
        </is>
      </c>
      <c r="C11" s="7" t="n">
        <v>2100000</v>
      </c>
      <c r="D11" s="8" t="n">
        <v>80724</v>
      </c>
      <c r="E11" s="8" t="n">
        <v>138622</v>
      </c>
      <c r="F11" s="8" t="n">
        <v>20065</v>
      </c>
      <c r="G11" s="8">
        <f>D11+E11+F11</f>
        <v/>
      </c>
      <c r="H11" s="9">
        <f>IF(C11=0,0,G11/C11)</f>
        <v/>
      </c>
      <c r="I11" s="8">
        <f>C11-G11</f>
        <v/>
      </c>
      <c r="J11" s="8">
        <f>G11*0.10</f>
        <v/>
      </c>
    </row>
    <row r="12">
      <c r="A12" s="6" t="inlineStr">
        <is>
          <t>11</t>
        </is>
      </c>
      <c r="B12" s="6" t="inlineStr">
        <is>
          <t>Specialties</t>
        </is>
      </c>
      <c r="C12" s="7" t="n">
        <v>420000</v>
      </c>
      <c r="D12" s="8" t="n">
        <v>21761</v>
      </c>
      <c r="E12" s="8" t="n">
        <v>28379</v>
      </c>
      <c r="F12" s="8" t="n">
        <v>863</v>
      </c>
      <c r="G12" s="8">
        <f>D12+E12+F12</f>
        <v/>
      </c>
      <c r="H12" s="9">
        <f>IF(C12=0,0,G12/C12)</f>
        <v/>
      </c>
      <c r="I12" s="8">
        <f>C12-G12</f>
        <v/>
      </c>
      <c r="J12" s="8">
        <f>G12*0.10</f>
        <v/>
      </c>
    </row>
    <row r="13">
      <c r="A13" s="6" t="inlineStr">
        <is>
          <t>12</t>
        </is>
      </c>
      <c r="B13" s="6" t="inlineStr">
        <is>
          <t>Equipment</t>
        </is>
      </c>
      <c r="C13" s="7" t="n">
        <v>380000</v>
      </c>
      <c r="D13" s="8" t="n">
        <v>24498</v>
      </c>
      <c r="E13" s="8" t="n">
        <v>22842</v>
      </c>
      <c r="F13" s="8" t="n">
        <v>691</v>
      </c>
      <c r="G13" s="8">
        <f>D13+E13+F13</f>
        <v/>
      </c>
      <c r="H13" s="9">
        <f>IF(C13=0,0,G13/C13)</f>
        <v/>
      </c>
      <c r="I13" s="8">
        <f>C13-G13</f>
        <v/>
      </c>
      <c r="J13" s="8">
        <f>G13*0.10</f>
        <v/>
      </c>
    </row>
    <row r="14">
      <c r="A14" s="6" t="inlineStr">
        <is>
          <t>13</t>
        </is>
      </c>
      <c r="B14" s="6" t="inlineStr">
        <is>
          <t>Elevator</t>
        </is>
      </c>
      <c r="C14" s="7" t="n">
        <v>350000</v>
      </c>
      <c r="D14" s="8" t="n">
        <v>21361</v>
      </c>
      <c r="E14" s="8" t="n">
        <v>12230</v>
      </c>
      <c r="F14" s="8" t="n">
        <v>561</v>
      </c>
      <c r="G14" s="8">
        <f>D14+E14+F14</f>
        <v/>
      </c>
      <c r="H14" s="9">
        <f>IF(C14=0,0,G14/C14)</f>
        <v/>
      </c>
      <c r="I14" s="8">
        <f>C14-G14</f>
        <v/>
      </c>
      <c r="J14" s="8">
        <f>G14*0.10</f>
        <v/>
      </c>
    </row>
    <row r="15">
      <c r="A15" s="6" t="inlineStr">
        <is>
          <t>14</t>
        </is>
      </c>
      <c r="B15" s="6" t="inlineStr">
        <is>
          <t>Fire Suppression</t>
        </is>
      </c>
      <c r="C15" s="7" t="n">
        <v>680000</v>
      </c>
      <c r="D15" s="8" t="n">
        <v>25715</v>
      </c>
      <c r="E15" s="8" t="n">
        <v>53172</v>
      </c>
      <c r="F15" s="8" t="n">
        <v>2027</v>
      </c>
      <c r="G15" s="8">
        <f>D15+E15+F15</f>
        <v/>
      </c>
      <c r="H15" s="9">
        <f>IF(C15=0,0,G15/C15)</f>
        <v/>
      </c>
      <c r="I15" s="8">
        <f>C15-G15</f>
        <v/>
      </c>
      <c r="J15" s="8">
        <f>G15*0.10</f>
        <v/>
      </c>
    </row>
    <row r="16">
      <c r="A16" s="6" t="inlineStr">
        <is>
          <t>15</t>
        </is>
      </c>
      <c r="B16" s="6" t="inlineStr">
        <is>
          <t>Plumbing</t>
        </is>
      </c>
      <c r="C16" s="7" t="n">
        <v>1200000</v>
      </c>
      <c r="D16" s="8" t="n">
        <v>46889</v>
      </c>
      <c r="E16" s="8" t="n">
        <v>61110</v>
      </c>
      <c r="F16" s="8" t="n">
        <v>1419</v>
      </c>
      <c r="G16" s="8">
        <f>D16+E16+F16</f>
        <v/>
      </c>
      <c r="H16" s="9">
        <f>IF(C16=0,0,G16/C16)</f>
        <v/>
      </c>
      <c r="I16" s="8">
        <f>C16-G16</f>
        <v/>
      </c>
      <c r="J16" s="8">
        <f>G16*0.10</f>
        <v/>
      </c>
    </row>
    <row r="17">
      <c r="A17" s="6" t="inlineStr">
        <is>
          <t>16</t>
        </is>
      </c>
      <c r="B17" s="6" t="inlineStr">
        <is>
          <t>HVAC</t>
        </is>
      </c>
      <c r="C17" s="7" t="n">
        <v>2800000</v>
      </c>
      <c r="D17" s="8" t="n">
        <v>114915</v>
      </c>
      <c r="E17" s="8" t="n">
        <v>196712</v>
      </c>
      <c r="F17" s="8" t="n">
        <v>7538</v>
      </c>
      <c r="G17" s="8">
        <f>D17+E17+F17</f>
        <v/>
      </c>
      <c r="H17" s="9">
        <f>IF(C17=0,0,G17/C17)</f>
        <v/>
      </c>
      <c r="I17" s="8">
        <f>C17-G17</f>
        <v/>
      </c>
      <c r="J17" s="8">
        <f>G17*0.10</f>
        <v/>
      </c>
    </row>
    <row r="18">
      <c r="A18" s="6" t="inlineStr">
        <is>
          <t>17</t>
        </is>
      </c>
      <c r="B18" s="6" t="inlineStr">
        <is>
          <t>Electrical</t>
        </is>
      </c>
      <c r="C18" s="7" t="n">
        <v>2400000</v>
      </c>
      <c r="D18" s="8" t="n">
        <v>88288</v>
      </c>
      <c r="E18" s="8" t="n">
        <v>128491</v>
      </c>
      <c r="F18" s="8" t="n">
        <v>1976</v>
      </c>
      <c r="G18" s="8">
        <f>D18+E18+F18</f>
        <v/>
      </c>
      <c r="H18" s="9">
        <f>IF(C18=0,0,G18/C18)</f>
        <v/>
      </c>
      <c r="I18" s="8">
        <f>C18-G18</f>
        <v/>
      </c>
      <c r="J18" s="8">
        <f>G18*0.10</f>
        <v/>
      </c>
    </row>
    <row r="19">
      <c r="A19" s="6" t="inlineStr">
        <is>
          <t>18</t>
        </is>
      </c>
      <c r="B19" s="6" t="inlineStr">
        <is>
          <t>Communications &amp; Security</t>
        </is>
      </c>
      <c r="C19" s="7" t="n">
        <v>750000</v>
      </c>
      <c r="D19" s="8" t="n">
        <v>42777</v>
      </c>
      <c r="E19" s="8" t="n">
        <v>24516</v>
      </c>
      <c r="F19" s="8" t="n">
        <v>243</v>
      </c>
      <c r="G19" s="8">
        <f>D19+E19+F19</f>
        <v/>
      </c>
      <c r="H19" s="9">
        <f>IF(C19=0,0,G19/C19)</f>
        <v/>
      </c>
      <c r="I19" s="8">
        <f>C19-G19</f>
        <v/>
      </c>
      <c r="J19" s="8">
        <f>G19*0.10</f>
        <v/>
      </c>
    </row>
    <row r="20">
      <c r="B20" s="10" t="inlineStr">
        <is>
          <t>GRAND TOTAL</t>
        </is>
      </c>
      <c r="C20" s="11">
        <f>SUM(C2:C19)</f>
        <v/>
      </c>
      <c r="D20" s="11">
        <f>SUM(D2:D19)</f>
        <v/>
      </c>
      <c r="E20" s="11">
        <f>SUM(E2:E19)</f>
        <v/>
      </c>
      <c r="F20" s="11">
        <f>SUM(F2:F19)</f>
        <v/>
      </c>
      <c r="G20" s="11">
        <f>SUM(G2:G19)</f>
        <v/>
      </c>
      <c r="H20" s="12">
        <f>IF(C20=0,0,G20/C20)</f>
        <v/>
      </c>
      <c r="I20" s="11">
        <f>SUM(I2:I19)</f>
        <v/>
      </c>
      <c r="J20" s="11">
        <f>SUM(J2:J19)</f>
        <v/>
      </c>
    </row>
  </sheetData>
  <autoFilter ref="A1:J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2026-03-23T07:26:40Z</dcterms:created>
  <dcterms:modified xmlns:dcterms="http://purl.org/dc/terms/" xmlns:xsi="http://www.w3.org/2001/XMLSchema-instance" xsi:type="dcterms:W3CDTF">2026-03-23T07:26:40Z</dcterms:modified>
</cp:coreProperties>
</file>