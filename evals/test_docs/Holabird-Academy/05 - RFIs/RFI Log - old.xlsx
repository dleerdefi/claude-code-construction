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I Log" sheetId="1" state="visible" r:id="rId1"/>
  </sheets>
  <definedNames>
    <definedName name="_xlnm._FilterDatabase" localSheetId="0" hidden="1">'RFI Log'!$A$4:$K$29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55" customWidth="1" min="3" max="3"/>
    <col width="14" customWidth="1" min="4" max="4"/>
    <col width="11" customWidth="1" min="5" max="5"/>
    <col width="14" customWidth="1" min="6" max="6"/>
    <col width="14" customWidth="1" min="7" max="7"/>
    <col width="15" customWidth="1" min="8" max="8"/>
    <col width="16" customWidth="1" min="9" max="9"/>
    <col width="10" customWidth="1" min="10" max="10"/>
    <col width="27" customWidth="1" min="11" max="11"/>
  </cols>
  <sheetData>
    <row r="1">
      <c r="A1" s="1" t="inlineStr">
        <is>
          <t>HOLABIRD ACADEMY — RFI Log</t>
        </is>
      </c>
    </row>
    <row r="2">
      <c r="A2" s="2" t="inlineStr">
        <is>
          <t>Project No. 2024-0312 | 1500 Imla Street, Baltimore, MD 21224</t>
        </is>
      </c>
    </row>
    <row r="3"/>
    <row r="4">
      <c r="A4" s="3" t="inlineStr">
        <is>
          <t>RFI #</t>
        </is>
      </c>
      <c r="B4" s="3" t="inlineStr">
        <is>
          <t>Date Submitted</t>
        </is>
      </c>
      <c r="C4" s="3" t="inlineStr">
        <is>
          <t>Subject</t>
        </is>
      </c>
      <c r="D4" s="3" t="inlineStr">
        <is>
          <t>Spec Section</t>
        </is>
      </c>
      <c r="E4" s="3" t="inlineStr">
        <is>
          <t>Sheet Ref</t>
        </is>
      </c>
      <c r="F4" s="3" t="inlineStr">
        <is>
          <t>Submitted By</t>
        </is>
      </c>
      <c r="G4" s="3" t="inlineStr">
        <is>
          <t>Assigned To</t>
        </is>
      </c>
      <c r="H4" s="3" t="inlineStr">
        <is>
          <t>Date Required</t>
        </is>
      </c>
      <c r="I4" s="3" t="inlineStr">
        <is>
          <t>Date Responded</t>
        </is>
      </c>
      <c r="J4" s="3" t="inlineStr">
        <is>
          <t>Status</t>
        </is>
      </c>
      <c r="K4" s="3" t="inlineStr">
        <is>
          <t>Days Open</t>
        </is>
      </c>
    </row>
    <row r="5">
      <c r="A5" s="4" t="inlineStr">
        <is>
          <t>RFI-001</t>
        </is>
      </c>
      <c r="B5" s="4" t="inlineStr">
        <is>
          <t>2025-07-15</t>
        </is>
      </c>
      <c r="C5" s="4" t="inlineStr">
        <is>
          <t>Foundation depth at Grid B-4 does not match geotech report</t>
        </is>
      </c>
      <c r="D5" s="4" t="inlineStr">
        <is>
          <t>03 30 00</t>
        </is>
      </c>
      <c r="E5" s="4" t="inlineStr">
        <is>
          <t>S-2.01</t>
        </is>
      </c>
      <c r="F5" s="4" t="inlineStr">
        <is>
          <t>Sarah Chen</t>
        </is>
      </c>
      <c r="G5" s="4" t="inlineStr">
        <is>
          <t>Paul Whitney</t>
        </is>
      </c>
      <c r="H5" s="4" t="inlineStr">
        <is>
          <t>2025-07-22</t>
        </is>
      </c>
      <c r="I5" s="4" t="inlineStr">
        <is>
          <t>2025-07-20</t>
        </is>
      </c>
      <c r="J5" s="5" t="inlineStr">
        <is>
          <t>Closed</t>
        </is>
      </c>
      <c r="K5" s="6">
        <f>DATEDIF(B5,I5,"d")</f>
        <v/>
      </c>
    </row>
    <row r="6">
      <c r="A6" s="4" t="inlineStr">
        <is>
          <t>RFI-002</t>
        </is>
      </c>
      <c r="B6" s="4" t="inlineStr">
        <is>
          <t>2025-07-18</t>
        </is>
      </c>
      <c r="C6" s="4" t="inlineStr">
        <is>
          <t>Door hardware spec references discontinued Schlage series</t>
        </is>
      </c>
      <c r="D6" s="4" t="inlineStr">
        <is>
          <t>08 71 00</t>
        </is>
      </c>
      <c r="E6" s="4" t="inlineStr">
        <is>
          <t>A-6.01</t>
        </is>
      </c>
      <c r="F6" s="4" t="inlineStr">
        <is>
          <t>Sarah Chen</t>
        </is>
      </c>
      <c r="G6" s="4" t="inlineStr">
        <is>
          <t>Robert Marks</t>
        </is>
      </c>
      <c r="H6" s="4" t="inlineStr">
        <is>
          <t>2025-07-25</t>
        </is>
      </c>
      <c r="I6" s="4" t="inlineStr">
        <is>
          <t>2025-07-28</t>
        </is>
      </c>
      <c r="J6" s="5" t="inlineStr">
        <is>
          <t>Closed</t>
        </is>
      </c>
      <c r="K6" s="6">
        <f>DATEDIF(B6,I6,"d")</f>
        <v/>
      </c>
    </row>
    <row r="7">
      <c r="A7" s="4" t="inlineStr">
        <is>
          <t>RFI-003</t>
        </is>
      </c>
      <c r="B7" s="4" t="inlineStr">
        <is>
          <t>2025-07-22</t>
        </is>
      </c>
      <c r="C7" s="4" t="inlineStr">
        <is>
          <t>CMU reinforcement spacing conflicts between plan and detail</t>
        </is>
      </c>
      <c r="D7" s="4" t="inlineStr">
        <is>
          <t>04 20 00</t>
        </is>
      </c>
      <c r="E7" s="4" t="inlineStr">
        <is>
          <t>S-3.02</t>
        </is>
      </c>
      <c r="F7" s="4" t="inlineStr">
        <is>
          <t>Sarah Chen</t>
        </is>
      </c>
      <c r="G7" s="4" t="inlineStr">
        <is>
          <t>Paul Whitney</t>
        </is>
      </c>
      <c r="H7" s="4" t="inlineStr">
        <is>
          <t>2025-07-29</t>
        </is>
      </c>
      <c r="I7" s="4" t="inlineStr">
        <is>
          <t>2025-07-27</t>
        </is>
      </c>
      <c r="J7" s="5" t="inlineStr">
        <is>
          <t>Closed</t>
        </is>
      </c>
      <c r="K7" s="6">
        <f>DATEDIF(B7,I7,"d")</f>
        <v/>
      </c>
    </row>
    <row r="8">
      <c r="A8" s="4" t="inlineStr">
        <is>
          <t>RFI-004</t>
        </is>
      </c>
      <c r="B8" s="4" t="inlineStr">
        <is>
          <t>2025-07-25</t>
        </is>
      </c>
      <c r="C8" s="4" t="inlineStr">
        <is>
          <t>Roof drain location conflicts with structural beam at Grid D-6</t>
        </is>
      </c>
      <c r="D8" s="4" t="inlineStr">
        <is>
          <t>07 52 00</t>
        </is>
      </c>
      <c r="E8" s="4" t="inlineStr">
        <is>
          <t>A-4.01</t>
        </is>
      </c>
      <c r="F8" s="4" t="inlineStr">
        <is>
          <t>Sarah Chen</t>
        </is>
      </c>
      <c r="G8" s="4" t="inlineStr">
        <is>
          <t>Robert Marks</t>
        </is>
      </c>
      <c r="H8" s="4" t="inlineStr">
        <is>
          <t>2025-08-01</t>
        </is>
      </c>
      <c r="I8" s="4" t="inlineStr">
        <is>
          <t>2025-08-04</t>
        </is>
      </c>
      <c r="J8" s="5" t="inlineStr">
        <is>
          <t>Closed</t>
        </is>
      </c>
      <c r="K8" s="6">
        <f>DATEDIF(B8,I8,"d")</f>
        <v/>
      </c>
    </row>
    <row r="9">
      <c r="A9" s="4" t="inlineStr">
        <is>
          <t>RFI-005</t>
        </is>
      </c>
      <c r="B9" s="4" t="inlineStr">
        <is>
          <t>2025-07-30</t>
        </is>
      </c>
      <c r="C9" s="4" t="inlineStr">
        <is>
          <t>Exterior curtain wall mullion depth exceeds detail dimension</t>
        </is>
      </c>
      <c r="D9" s="4" t="inlineStr">
        <is>
          <t>08 44 13</t>
        </is>
      </c>
      <c r="E9" s="4" t="inlineStr">
        <is>
          <t>A-5.03</t>
        </is>
      </c>
      <c r="F9" s="4" t="inlineStr">
        <is>
          <t>Sarah Chen</t>
        </is>
      </c>
      <c r="G9" s="4" t="inlineStr">
        <is>
          <t>Robert Marks</t>
        </is>
      </c>
      <c r="H9" s="4" t="inlineStr">
        <is>
          <t>2025-08-06</t>
        </is>
      </c>
      <c r="I9" s="4" t="inlineStr">
        <is>
          <t>2025-08-05</t>
        </is>
      </c>
      <c r="J9" s="5" t="inlineStr">
        <is>
          <t>Closed</t>
        </is>
      </c>
      <c r="K9" s="6">
        <f>DATEDIF(B9,I9,"d")</f>
        <v/>
      </c>
    </row>
    <row r="10">
      <c r="A10" s="4" t="inlineStr">
        <is>
          <t>RFI-006</t>
        </is>
      </c>
      <c r="B10" s="4" t="inlineStr">
        <is>
          <t>2025-08-02</t>
        </is>
      </c>
      <c r="C10" s="4" t="inlineStr">
        <is>
          <t>Fire-rated corridor wall assembly not specified at Room 104</t>
        </is>
      </c>
      <c r="D10" s="4" t="inlineStr">
        <is>
          <t>07 84 13</t>
        </is>
      </c>
      <c r="E10" s="4" t="inlineStr">
        <is>
          <t>A-2.01</t>
        </is>
      </c>
      <c r="F10" s="4" t="inlineStr">
        <is>
          <t>Sarah Chen</t>
        </is>
      </c>
      <c r="G10" s="4" t="inlineStr">
        <is>
          <t>Robert Marks</t>
        </is>
      </c>
      <c r="H10" s="4" t="inlineStr">
        <is>
          <t>2025-08-09</t>
        </is>
      </c>
      <c r="I10" s="4" t="inlineStr">
        <is>
          <t>2025-08-11</t>
        </is>
      </c>
      <c r="J10" s="5" t="inlineStr">
        <is>
          <t>Closed</t>
        </is>
      </c>
      <c r="K10" s="6">
        <f>DATEDIF(B10,I10,"d")</f>
        <v/>
      </c>
    </row>
    <row r="11">
      <c r="A11" s="4" t="inlineStr">
        <is>
          <t>RFI-007</t>
        </is>
      </c>
      <c r="B11" s="4" t="inlineStr">
        <is>
          <t>2025-08-05</t>
        </is>
      </c>
      <c r="C11" s="4" t="inlineStr">
        <is>
          <t>Electrical panel clearance insufficient in Mech Room 012</t>
        </is>
      </c>
      <c r="D11" s="4" t="inlineStr">
        <is>
          <t>26 05 00</t>
        </is>
      </c>
      <c r="E11" s="4" t="inlineStr">
        <is>
          <t>E-2.01</t>
        </is>
      </c>
      <c r="F11" s="4" t="inlineStr">
        <is>
          <t>Sarah Chen</t>
        </is>
      </c>
      <c r="G11" s="4" t="inlineStr">
        <is>
          <t>David Posey</t>
        </is>
      </c>
      <c r="H11" s="4" t="inlineStr">
        <is>
          <t>2025-08-12</t>
        </is>
      </c>
      <c r="I11" s="4" t="inlineStr">
        <is>
          <t>2025-08-10</t>
        </is>
      </c>
      <c r="J11" s="5" t="inlineStr">
        <is>
          <t>Closed</t>
        </is>
      </c>
      <c r="K11" s="6">
        <f>DATEDIF(B11,I11,"d")</f>
        <v/>
      </c>
    </row>
    <row r="12">
      <c r="A12" s="4" t="inlineStr">
        <is>
          <t>RFI-008</t>
        </is>
      </c>
      <c r="B12" s="4" t="inlineStr">
        <is>
          <t>2025-08-08</t>
        </is>
      </c>
      <c r="C12" s="4" t="inlineStr">
        <is>
          <t>ADA restroom layout does not meet 60-inch turning radius</t>
        </is>
      </c>
      <c r="D12" s="4" t="inlineStr">
        <is>
          <t>10 21 13</t>
        </is>
      </c>
      <c r="E12" s="4" t="inlineStr">
        <is>
          <t>A-2.03</t>
        </is>
      </c>
      <c r="F12" s="4" t="inlineStr">
        <is>
          <t>Sarah Chen</t>
        </is>
      </c>
      <c r="G12" s="4" t="inlineStr">
        <is>
          <t>Robert Marks</t>
        </is>
      </c>
      <c r="H12" s="4" t="inlineStr">
        <is>
          <t>2025-08-15</t>
        </is>
      </c>
      <c r="I12" s="4" t="inlineStr">
        <is>
          <t>2025-08-18</t>
        </is>
      </c>
      <c r="J12" s="5" t="inlineStr">
        <is>
          <t>Closed</t>
        </is>
      </c>
      <c r="K12" s="6">
        <f>DATEDIF(B12,I12,"d")</f>
        <v/>
      </c>
    </row>
    <row r="13">
      <c r="A13" s="4" t="inlineStr">
        <is>
          <t>RFI-009</t>
        </is>
      </c>
      <c r="B13" s="4" t="inlineStr">
        <is>
          <t>2025-08-11</t>
        </is>
      </c>
      <c r="C13" s="4" t="inlineStr">
        <is>
          <t>Structural steel connection detail missing at Grid A-1/C</t>
        </is>
      </c>
      <c r="D13" s="4" t="inlineStr">
        <is>
          <t>05 12 00</t>
        </is>
      </c>
      <c r="E13" s="4" t="inlineStr">
        <is>
          <t>S-4.05</t>
        </is>
      </c>
      <c r="F13" s="4" t="inlineStr">
        <is>
          <t>Sarah Chen</t>
        </is>
      </c>
      <c r="G13" s="4" t="inlineStr">
        <is>
          <t>Paul Whitney</t>
        </is>
      </c>
      <c r="H13" s="4" t="inlineStr">
        <is>
          <t>2025-08-18</t>
        </is>
      </c>
      <c r="I13" s="4" t="inlineStr">
        <is>
          <t>2025-08-15</t>
        </is>
      </c>
      <c r="J13" s="5" t="inlineStr">
        <is>
          <t>Closed</t>
        </is>
      </c>
      <c r="K13" s="6">
        <f>DATEDIF(B13,I13,"d")</f>
        <v/>
      </c>
    </row>
    <row r="14">
      <c r="A14" s="4" t="inlineStr">
        <is>
          <t>RFI-010</t>
        </is>
      </c>
      <c r="B14" s="4" t="inlineStr">
        <is>
          <t>2025-08-14</t>
        </is>
      </c>
      <c r="C14" s="4" t="inlineStr">
        <is>
          <t>Confirm exterior brick color selection — spec lists 3 options</t>
        </is>
      </c>
      <c r="D14" s="4" t="inlineStr">
        <is>
          <t>04 20 00</t>
        </is>
      </c>
      <c r="E14" s="4" t="inlineStr">
        <is>
          <t>A-5.01</t>
        </is>
      </c>
      <c r="F14" s="4" t="inlineStr">
        <is>
          <t>Sarah Chen</t>
        </is>
      </c>
      <c r="G14" s="4" t="inlineStr">
        <is>
          <t>Robert Marks</t>
        </is>
      </c>
      <c r="H14" s="4" t="inlineStr">
        <is>
          <t>2025-08-21</t>
        </is>
      </c>
      <c r="I14" s="4" t="inlineStr">
        <is>
          <t>2025-08-25</t>
        </is>
      </c>
      <c r="J14" s="5" t="inlineStr">
        <is>
          <t>Closed</t>
        </is>
      </c>
      <c r="K14" s="6">
        <f>DATEDIF(B14,I14,"d")</f>
        <v/>
      </c>
    </row>
    <row r="15">
      <c r="A15" s="4" t="inlineStr">
        <is>
          <t>RFI-011</t>
        </is>
      </c>
      <c r="B15" s="4" t="inlineStr">
        <is>
          <t>2025-08-18</t>
        </is>
      </c>
      <c r="C15" s="4" t="inlineStr">
        <is>
          <t>HVAC duct routing conflicts with sprinkler main at 2nd floor</t>
        </is>
      </c>
      <c r="D15" s="4" t="inlineStr">
        <is>
          <t>23 05 00</t>
        </is>
      </c>
      <c r="E15" s="4" t="inlineStr">
        <is>
          <t>M-2.01</t>
        </is>
      </c>
      <c r="F15" s="4" t="inlineStr">
        <is>
          <t>Sarah Chen</t>
        </is>
      </c>
      <c r="G15" s="4" t="inlineStr">
        <is>
          <t>David Posey</t>
        </is>
      </c>
      <c r="H15" s="4" t="inlineStr">
        <is>
          <t>2025-08-25</t>
        </is>
      </c>
      <c r="I15" s="4" t="inlineStr">
        <is>
          <t>2025-08-22</t>
        </is>
      </c>
      <c r="J15" s="5" t="inlineStr">
        <is>
          <t>Closed</t>
        </is>
      </c>
      <c r="K15" s="6">
        <f>DATEDIF(B15,I15,"d")</f>
        <v/>
      </c>
    </row>
    <row r="16">
      <c r="A16" s="4" t="inlineStr">
        <is>
          <t>RFI-012</t>
        </is>
      </c>
      <c r="B16" s="4" t="inlineStr">
        <is>
          <t>2025-08-20</t>
        </is>
      </c>
      <c r="C16" s="4" t="inlineStr">
        <is>
          <t>Elevator pit depth does not match manufacturer requirements</t>
        </is>
      </c>
      <c r="D16" s="4" t="inlineStr">
        <is>
          <t>14 20 00</t>
        </is>
      </c>
      <c r="E16" s="4" t="inlineStr">
        <is>
          <t>A-2.01</t>
        </is>
      </c>
      <c r="F16" s="4" t="inlineStr">
        <is>
          <t>Sarah Chen</t>
        </is>
      </c>
      <c r="G16" s="4" t="inlineStr">
        <is>
          <t>Robert Marks</t>
        </is>
      </c>
      <c r="H16" s="4" t="inlineStr">
        <is>
          <t>2025-08-27</t>
        </is>
      </c>
      <c r="I16" s="4" t="inlineStr">
        <is>
          <t>2025-08-29</t>
        </is>
      </c>
      <c r="J16" s="5" t="inlineStr">
        <is>
          <t>Closed</t>
        </is>
      </c>
      <c r="K16" s="6">
        <f>DATEDIF(B16,I16,"d")</f>
        <v/>
      </c>
    </row>
    <row r="17">
      <c r="A17" s="4" t="inlineStr">
        <is>
          <t>RFI-013</t>
        </is>
      </c>
      <c r="B17" s="4" t="inlineStr">
        <is>
          <t>2025-08-22</t>
        </is>
      </c>
      <c r="C17" s="4" t="inlineStr">
        <is>
          <t>Playground equipment foundation loads not provided</t>
        </is>
      </c>
      <c r="D17" s="4" t="inlineStr">
        <is>
          <t>31 00 00</t>
        </is>
      </c>
      <c r="E17" s="4" t="inlineStr">
        <is>
          <t>C-3.01</t>
        </is>
      </c>
      <c r="F17" s="4" t="inlineStr">
        <is>
          <t>Sarah Chen</t>
        </is>
      </c>
      <c r="G17" s="4" t="inlineStr">
        <is>
          <t>Paul Whitney</t>
        </is>
      </c>
      <c r="H17" s="4" t="inlineStr">
        <is>
          <t>2025-08-29</t>
        </is>
      </c>
      <c r="I17" s="4" t="inlineStr">
        <is>
          <t>2025-09-02</t>
        </is>
      </c>
      <c r="J17" s="5" t="inlineStr">
        <is>
          <t>Closed</t>
        </is>
      </c>
      <c r="K17" s="6">
        <f>DATEDIF(B17,I17,"d")</f>
        <v/>
      </c>
    </row>
    <row r="18">
      <c r="A18" s="4" t="inlineStr">
        <is>
          <t>RFI-014</t>
        </is>
      </c>
      <c r="B18" s="4" t="inlineStr">
        <is>
          <t>2025-08-25</t>
        </is>
      </c>
      <c r="C18" s="4" t="inlineStr">
        <is>
          <t>Kitchen hood exhaust duct size not shown on MEP drawings</t>
        </is>
      </c>
      <c r="D18" s="4" t="inlineStr">
        <is>
          <t>23 05 00</t>
        </is>
      </c>
      <c r="E18" s="4" t="inlineStr">
        <is>
          <t>M-3.01</t>
        </is>
      </c>
      <c r="F18" s="4" t="inlineStr">
        <is>
          <t>Sarah Chen</t>
        </is>
      </c>
      <c r="G18" s="4" t="inlineStr">
        <is>
          <t>David Posey</t>
        </is>
      </c>
      <c r="H18" s="4" t="inlineStr">
        <is>
          <t>2025-09-01</t>
        </is>
      </c>
      <c r="I18" s="4" t="inlineStr">
        <is>
          <t>2025-08-29</t>
        </is>
      </c>
      <c r="J18" s="5" t="inlineStr">
        <is>
          <t>Closed</t>
        </is>
      </c>
      <c r="K18" s="6">
        <f>DATEDIF(B18,I18,"d")</f>
        <v/>
      </c>
    </row>
    <row r="19">
      <c r="A19" s="4" t="inlineStr">
        <is>
          <t>RFI-015</t>
        </is>
      </c>
      <c r="B19" s="4" t="inlineStr">
        <is>
          <t>2025-08-28</t>
        </is>
      </c>
      <c r="C19" s="4" t="inlineStr">
        <is>
          <t>Floor finish transition detail between VCT and carpet</t>
        </is>
      </c>
      <c r="D19" s="4" t="inlineStr">
        <is>
          <t>09 65 00</t>
        </is>
      </c>
      <c r="E19" s="4" t="inlineStr">
        <is>
          <t>A-7.02</t>
        </is>
      </c>
      <c r="F19" s="4" t="inlineStr">
        <is>
          <t>Sarah Chen</t>
        </is>
      </c>
      <c r="G19" s="4" t="inlineStr">
        <is>
          <t>Robert Marks</t>
        </is>
      </c>
      <c r="H19" s="4" t="inlineStr">
        <is>
          <t>2025-09-04</t>
        </is>
      </c>
      <c r="I19" s="4" t="inlineStr">
        <is>
          <t>2025-09-05</t>
        </is>
      </c>
      <c r="J19" s="5" t="inlineStr">
        <is>
          <t>Closed</t>
        </is>
      </c>
      <c r="K19" s="6">
        <f>DATEDIF(B19,I19,"d")</f>
        <v/>
      </c>
    </row>
    <row r="20">
      <c r="A20" s="4" t="inlineStr">
        <is>
          <t>RFI-016</t>
        </is>
      </c>
      <c r="B20" s="4" t="inlineStr">
        <is>
          <t>2025-09-01</t>
        </is>
      </c>
      <c r="C20" s="4" t="inlineStr">
        <is>
          <t>Confirm waterproofing membrane extent at foundation walls</t>
        </is>
      </c>
      <c r="D20" s="4" t="inlineStr">
        <is>
          <t>07 11 00</t>
        </is>
      </c>
      <c r="E20" s="4" t="inlineStr">
        <is>
          <t>A-4.03</t>
        </is>
      </c>
      <c r="F20" s="4" t="inlineStr">
        <is>
          <t>Sarah Chen</t>
        </is>
      </c>
      <c r="G20" s="4" t="inlineStr">
        <is>
          <t>Robert Marks</t>
        </is>
      </c>
      <c r="H20" s="4" t="inlineStr">
        <is>
          <t>2025-09-08</t>
        </is>
      </c>
      <c r="I20" s="4" t="inlineStr">
        <is>
          <t>2025-09-10</t>
        </is>
      </c>
      <c r="J20" s="5" t="inlineStr">
        <is>
          <t>Closed</t>
        </is>
      </c>
      <c r="K20" s="6">
        <f>DATEDIF(B20,I20,"d")</f>
        <v/>
      </c>
    </row>
    <row r="21">
      <c r="A21" s="4" t="inlineStr">
        <is>
          <t>RFI-017</t>
        </is>
      </c>
      <c r="B21" s="4" t="inlineStr">
        <is>
          <t>2025-09-03</t>
        </is>
      </c>
      <c r="C21" s="4" t="inlineStr">
        <is>
          <t>Light fixture type 'F' not found in electrical schedule</t>
        </is>
      </c>
      <c r="D21" s="4" t="inlineStr">
        <is>
          <t>26 51 00</t>
        </is>
      </c>
      <c r="E21" s="4" t="inlineStr">
        <is>
          <t>E-4.01</t>
        </is>
      </c>
      <c r="F21" s="4" t="inlineStr">
        <is>
          <t>Sarah Chen</t>
        </is>
      </c>
      <c r="G21" s="4" t="inlineStr">
        <is>
          <t>David Posey</t>
        </is>
      </c>
      <c r="H21" s="4" t="inlineStr">
        <is>
          <t>2025-09-10</t>
        </is>
      </c>
      <c r="I21" s="4" t="inlineStr">
        <is>
          <t>2025-09-08</t>
        </is>
      </c>
      <c r="J21" s="5" t="inlineStr">
        <is>
          <t>Closed</t>
        </is>
      </c>
      <c r="K21" s="6">
        <f>DATEDIF(B21,I21,"d")</f>
        <v/>
      </c>
    </row>
    <row r="22">
      <c r="A22" s="4" t="inlineStr">
        <is>
          <t>RFI-018</t>
        </is>
      </c>
      <c r="B22" s="4" t="inlineStr">
        <is>
          <t>2025-09-05</t>
        </is>
      </c>
      <c r="C22" s="4" t="inlineStr">
        <is>
          <t>Stair handrail extension length conflicts with ADA code</t>
        </is>
      </c>
      <c r="D22" s="4" t="inlineStr">
        <is>
          <t>05 50 00</t>
        </is>
      </c>
      <c r="E22" s="4" t="inlineStr">
        <is>
          <t>A-3.02</t>
        </is>
      </c>
      <c r="F22" s="4" t="inlineStr">
        <is>
          <t>Sarah Chen</t>
        </is>
      </c>
      <c r="G22" s="4" t="inlineStr">
        <is>
          <t>Robert Marks</t>
        </is>
      </c>
      <c r="H22" s="4" t="inlineStr">
        <is>
          <t>2025-09-12</t>
        </is>
      </c>
      <c r="I22" s="4" t="inlineStr">
        <is>
          <t>2025-09-15</t>
        </is>
      </c>
      <c r="J22" s="7" t="inlineStr">
        <is>
          <t>Open</t>
        </is>
      </c>
      <c r="K22" s="6">
        <f>DATEDIF(B22,TODAY(),"d")</f>
        <v/>
      </c>
    </row>
    <row r="23">
      <c r="A23" s="4" t="inlineStr">
        <is>
          <t>RFI-019</t>
        </is>
      </c>
      <c r="B23" s="4" t="inlineStr">
        <is>
          <t>2025-09-08</t>
        </is>
      </c>
      <c r="C23" s="4" t="inlineStr">
        <is>
          <t>Sanitary sewer invert elevation conflicts with civil drawings</t>
        </is>
      </c>
      <c r="D23" s="4" t="inlineStr">
        <is>
          <t>22 05 00</t>
        </is>
      </c>
      <c r="E23" s="4" t="inlineStr">
        <is>
          <t>P-1.01</t>
        </is>
      </c>
      <c r="F23" s="4" t="inlineStr">
        <is>
          <t>Sarah Chen</t>
        </is>
      </c>
      <c r="G23" s="4" t="inlineStr">
        <is>
          <t>David Posey</t>
        </is>
      </c>
      <c r="H23" s="4" t="inlineStr">
        <is>
          <t>2025-09-15</t>
        </is>
      </c>
      <c r="I23" s="4" t="inlineStr">
        <is>
          <t>2025-09-14</t>
        </is>
      </c>
      <c r="J23" s="5" t="inlineStr">
        <is>
          <t>Closed</t>
        </is>
      </c>
      <c r="K23" s="6">
        <f>DATEDIF(B23,I23,"d")</f>
        <v/>
      </c>
    </row>
    <row r="24">
      <c r="A24" s="4" t="inlineStr">
        <is>
          <t>RFI-020</t>
        </is>
      </c>
      <c r="B24" s="4" t="inlineStr">
        <is>
          <t>2025-09-10</t>
        </is>
      </c>
      <c r="C24" s="4" t="inlineStr">
        <is>
          <t>Gymnasium floor construction assembly not fully detailed</t>
        </is>
      </c>
      <c r="D24" s="4" t="inlineStr">
        <is>
          <t>09 64 00</t>
        </is>
      </c>
      <c r="E24" s="4" t="inlineStr">
        <is>
          <t>A-7.01</t>
        </is>
      </c>
      <c r="F24" s="4" t="inlineStr">
        <is>
          <t>Sarah Chen</t>
        </is>
      </c>
      <c r="G24" s="4" t="inlineStr">
        <is>
          <t>Robert Marks</t>
        </is>
      </c>
      <c r="H24" s="4" t="inlineStr">
        <is>
          <t>2025-09-17</t>
        </is>
      </c>
      <c r="I24" s="4" t="inlineStr"/>
      <c r="J24" s="7" t="inlineStr">
        <is>
          <t>Open</t>
        </is>
      </c>
      <c r="K24" s="6">
        <f>DATEDIF(B24,TODAY(),"d")</f>
        <v/>
      </c>
    </row>
    <row r="25">
      <c r="A25" s="4" t="inlineStr">
        <is>
          <t>RFI-021</t>
        </is>
      </c>
      <c r="B25" s="4" t="inlineStr">
        <is>
          <t>2025-09-11</t>
        </is>
      </c>
      <c r="C25" s="4" t="inlineStr">
        <is>
          <t>Fire alarm device locations not coordinated with ceiling grid</t>
        </is>
      </c>
      <c r="D25" s="4" t="inlineStr">
        <is>
          <t>28 31 00</t>
        </is>
      </c>
      <c r="E25" s="4" t="inlineStr">
        <is>
          <t>E-5.01</t>
        </is>
      </c>
      <c r="F25" s="4" t="inlineStr">
        <is>
          <t>Sarah Chen</t>
        </is>
      </c>
      <c r="G25" s="4" t="inlineStr">
        <is>
          <t>David Posey</t>
        </is>
      </c>
      <c r="H25" s="4" t="inlineStr">
        <is>
          <t>2025-09-18</t>
        </is>
      </c>
      <c r="I25" s="4" t="inlineStr"/>
      <c r="J25" s="7" t="inlineStr">
        <is>
          <t>Open</t>
        </is>
      </c>
      <c r="K25" s="6">
        <f>DATEDIF(B25,TODAY(),"d")</f>
        <v/>
      </c>
    </row>
    <row r="26">
      <c r="A26" s="4" t="inlineStr">
        <is>
          <t>RFI-022</t>
        </is>
      </c>
      <c r="B26" s="4" t="inlineStr">
        <is>
          <t>2025-09-12</t>
        </is>
      </c>
      <c r="C26" s="4" t="inlineStr">
        <is>
          <t>Exterior signage size and mounting height not specified</t>
        </is>
      </c>
      <c r="D26" s="4" t="inlineStr">
        <is>
          <t>10 14 00</t>
        </is>
      </c>
      <c r="E26" s="4" t="inlineStr">
        <is>
          <t>A-5.02</t>
        </is>
      </c>
      <c r="F26" s="4" t="inlineStr">
        <is>
          <t>Sarah Chen</t>
        </is>
      </c>
      <c r="G26" s="4" t="inlineStr">
        <is>
          <t>Robert Marks</t>
        </is>
      </c>
      <c r="H26" s="4" t="inlineStr">
        <is>
          <t>2025-09-19</t>
        </is>
      </c>
      <c r="I26" s="4" t="inlineStr"/>
      <c r="J26" s="7" t="inlineStr">
        <is>
          <t>Open</t>
        </is>
      </c>
      <c r="K26" s="6">
        <f>DATEDIF(B26,TODAY(),"d")</f>
        <v/>
      </c>
    </row>
    <row r="27">
      <c r="A27" s="4" t="inlineStr">
        <is>
          <t>RFI-023</t>
        </is>
      </c>
      <c r="B27" s="4" t="inlineStr">
        <is>
          <t>2025-09-14</t>
        </is>
      </c>
      <c r="C27" s="4" t="inlineStr">
        <is>
          <t>Loading dock leveler pit dimensions conflict with structural</t>
        </is>
      </c>
      <c r="D27" s="4" t="inlineStr">
        <is>
          <t>11 13 00</t>
        </is>
      </c>
      <c r="E27" s="4" t="inlineStr">
        <is>
          <t>A-2.05</t>
        </is>
      </c>
      <c r="F27" s="4" t="inlineStr">
        <is>
          <t>Sarah Chen</t>
        </is>
      </c>
      <c r="G27" s="4" t="inlineStr">
        <is>
          <t>Paul Whitney</t>
        </is>
      </c>
      <c r="H27" s="4" t="inlineStr">
        <is>
          <t>2025-09-21</t>
        </is>
      </c>
      <c r="I27" s="4" t="inlineStr"/>
      <c r="J27" s="7" t="inlineStr">
        <is>
          <t>Open</t>
        </is>
      </c>
      <c r="K27" s="6">
        <f>DATEDIF(B27,TODAY(),"d")</f>
        <v/>
      </c>
    </row>
    <row r="28">
      <c r="A28" s="4" t="inlineStr">
        <is>
          <t>RFI-024</t>
        </is>
      </c>
      <c r="B28" s="4" t="inlineStr">
        <is>
          <t>2025-09-15</t>
        </is>
      </c>
      <c r="C28" s="4" t="inlineStr">
        <is>
          <t>Window shade pocket depth insufficient for specified product</t>
        </is>
      </c>
      <c r="D28" s="4" t="inlineStr">
        <is>
          <t>12 24 00</t>
        </is>
      </c>
      <c r="E28" s="4" t="inlineStr">
        <is>
          <t>A-5.04</t>
        </is>
      </c>
      <c r="F28" s="4" t="inlineStr">
        <is>
          <t>Sarah Chen</t>
        </is>
      </c>
      <c r="G28" s="4" t="inlineStr">
        <is>
          <t>Robert Marks</t>
        </is>
      </c>
      <c r="H28" s="4" t="inlineStr">
        <is>
          <t>2025-09-22</t>
        </is>
      </c>
      <c r="I28" s="4" t="inlineStr"/>
      <c r="J28" s="7" t="inlineStr">
        <is>
          <t>Open</t>
        </is>
      </c>
      <c r="K28" s="6">
        <f>DATEDIF(B28,TODAY(),"d")</f>
        <v/>
      </c>
    </row>
    <row r="29">
      <c r="A29" s="4" t="inlineStr">
        <is>
          <t>RFI-025</t>
        </is>
      </c>
      <c r="B29" s="4" t="inlineStr">
        <is>
          <t>2025-09-16</t>
        </is>
      </c>
      <c r="C29" s="4" t="inlineStr">
        <is>
          <t>Telecom room HVAC cooling capacity appears undersized</t>
        </is>
      </c>
      <c r="D29" s="4" t="inlineStr">
        <is>
          <t>23 05 00</t>
        </is>
      </c>
      <c r="E29" s="4" t="inlineStr">
        <is>
          <t>M-2.02</t>
        </is>
      </c>
      <c r="F29" s="4" t="inlineStr">
        <is>
          <t>Sarah Chen</t>
        </is>
      </c>
      <c r="G29" s="4" t="inlineStr">
        <is>
          <t>David Posey</t>
        </is>
      </c>
      <c r="H29" s="4" t="inlineStr">
        <is>
          <t>2025-09-23</t>
        </is>
      </c>
      <c r="I29" s="4" t="inlineStr"/>
      <c r="J29" s="7" t="inlineStr">
        <is>
          <t>Open</t>
        </is>
      </c>
      <c r="K29" s="6">
        <f>DATEDIF(B29,TODAY(),"d")</f>
        <v/>
      </c>
    </row>
  </sheetData>
  <autoFilter ref="A4:K29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2026-03-23T07:26:40Z</dcterms:created>
  <dcterms:modified xmlns:dcterms="http://purl.org/dc/terms/" xmlns:xsi="http://www.w3.org/2001/XMLSchema-instance" xsi:type="dcterms:W3CDTF">2026-03-23T07:26:40Z</dcterms:modified>
</cp:coreProperties>
</file>